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ol Benchmark" sheetId="2" state="visible" r:id="rId2"/>
    <sheet xmlns:r="http://schemas.openxmlformats.org/officeDocument/2006/relationships" name="Protocol Daily Trend" sheetId="3" state="visible" r:id="rId3"/>
    <sheet xmlns:r="http://schemas.openxmlformats.org/officeDocument/2006/relationships" name="Metric Guide" sheetId="4" state="visible" r:id="rId4"/>
  </sheets>
  <definedNames>
    <definedName name="_xlnm._FilterDatabase" localSheetId="1" hidden="1">'Pool Benchmark'!$A$1:$N$11</definedName>
    <definedName name="_xlnm._FilterDatabase" localSheetId="2" hidden="1">'Protocol Daily Trend'!$A$1:$D$61</definedName>
    <definedName name="_xlnm._FilterDatabase" localSheetId="3" hidden="1">'Metric Guide'!$A$1:$C$7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4F4"/>
      </patternFill>
    </fill>
    <fill>
      <patternFill patternType="solid">
        <fgColor rgb="0000A6A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0" fontId="4" fillId="4" borderId="0" pivotButton="0" quotePrefix="0" xfId="0"/>
    <xf numFmtId="0" fontId="4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24h Volume by Pool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'Pool Benchmark'!G1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'Pool Benchmark'!$A$2:$A$11</f>
            </numRef>
          </cat>
          <val>
            <numRef>
              <f>'Pool Benchmark'!$G$2:$G$11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Protocol Daily Volume &amp; 7D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'Protocol Daily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'Protocol Daily Trend'!$A$2:$A$61</f>
            </numRef>
          </cat>
          <val>
            <numRef>
              <f>'Protocol Daily Trend'!$B$2:$B$61</f>
            </numRef>
          </val>
        </ser>
        <ser>
          <idx val="1"/>
          <order val="1"/>
          <tx>
            <strRef>
              <f>'Protocol Daily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'Protocol Daily Trend'!$A$2:$A$61</f>
            </numRef>
          </cat>
          <val>
            <numRef>
              <f>'Protocol Daily Trend'!$C$2:$C$61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Meteora DLMM — Liquidity Pool Operations Dashboard</t>
        </is>
      </c>
    </row>
    <row r="3">
      <c r="A3" s="2" t="inlineStr">
        <is>
          <t>Snapshot (UTC)</t>
        </is>
      </c>
      <c r="B3" s="2" t="inlineStr">
        <is>
          <t>2026-09-17 08:53</t>
        </is>
      </c>
      <c r="C3" s="2" t="inlineStr">
        <is>
          <t>Pools in sample</t>
        </is>
      </c>
      <c r="D3" s="2" t="n">
        <v>10</v>
      </c>
      <c r="E3" s="2" t="inlineStr">
        <is>
          <t>Data source</t>
        </is>
      </c>
      <c r="F3" s="2" t="inlineStr">
        <is>
          <t>Meteora public API</t>
        </is>
      </c>
    </row>
    <row r="4">
      <c r="A4" s="3" t="inlineStr">
        <is>
          <t>Sample TVL</t>
        </is>
      </c>
      <c r="B4" s="4">
        <f>SUM('Pool Benchmark'!F2:F11)</f>
        <v/>
      </c>
      <c r="C4" s="3" t="inlineStr">
        <is>
          <t>24h Volume</t>
        </is>
      </c>
      <c r="D4" s="4">
        <f>SUM('Pool Benchmark'!G2:G11)</f>
        <v/>
      </c>
      <c r="E4" s="3" t="inlineStr">
        <is>
          <t>24h Fees</t>
        </is>
      </c>
      <c r="F4" s="4">
        <f>SUM('Pool Benchmark'!H2:H11)</f>
        <v/>
      </c>
    </row>
    <row r="5">
      <c r="A5" s="3" t="inlineStr">
        <is>
          <t>Weighted turnover</t>
        </is>
      </c>
      <c r="B5" s="5">
        <f>D4/B4</f>
        <v/>
      </c>
      <c r="C5" s="3" t="inlineStr">
        <is>
          <t>Weighted fee yield</t>
        </is>
      </c>
      <c r="D5" s="5">
        <f>F4/B4</f>
        <v/>
      </c>
      <c r="E5" s="3" t="inlineStr">
        <is>
          <t>Top pool by 24h volume</t>
        </is>
      </c>
      <c r="F5" s="3">
        <f>'Pool Benchmark'!A2</f>
        <v/>
      </c>
    </row>
    <row r="8">
      <c r="A8" s="6" t="inlineStr">
        <is>
          <t>Analyst questions answered</t>
        </is>
      </c>
    </row>
    <row r="9">
      <c r="A9" t="inlineStr">
        <is>
          <t>1. Which sampled pools produce the most trading activity per unit of liquidity? (Volume / TVL)</t>
        </is>
      </c>
    </row>
    <row r="10">
      <c r="A10" t="inlineStr">
        <is>
          <t>2. Where do fee monetisation and liquidity utilisation diverge? (Fee yield vs. turnover)</t>
        </is>
      </c>
    </row>
    <row r="11">
      <c r="A11" t="inlineStr">
        <is>
          <t>3. Is protocol-level daily volume rising, stable, or volatile over the latest available observations?</t>
        </is>
      </c>
    </row>
    <row r="12">
      <c r="A12" t="inlineStr">
        <is>
          <t>Use this workbook as an operating diagnostic—not investment advice or a performance forecast.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12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2" customWidth="1" min="11" max="11"/>
    <col width="24" customWidth="1" min="12" max="12"/>
    <col width="12" customWidth="1" min="13" max="13"/>
    <col width="12" customWidth="1" min="14" max="14"/>
  </cols>
  <sheetData>
    <row r="1">
      <c r="A1" s="7" t="inlineStr">
        <is>
          <t>Pool</t>
        </is>
      </c>
      <c r="B1" s="7" t="inlineStr">
        <is>
          <t>Pool Address</t>
        </is>
      </c>
      <c r="C1" s="7" t="inlineStr">
        <is>
          <t>Token X</t>
        </is>
      </c>
      <c r="D1" s="7" t="inlineStr">
        <is>
          <t>Token Y</t>
        </is>
      </c>
      <c r="E1" s="7" t="inlineStr">
        <is>
          <t>Created (UTC)</t>
        </is>
      </c>
      <c r="F1" s="7" t="inlineStr">
        <is>
          <t>TVL USD</t>
        </is>
      </c>
      <c r="G1" s="7" t="inlineStr">
        <is>
          <t>24h Volume USD</t>
        </is>
      </c>
      <c r="H1" s="7" t="inlineStr">
        <is>
          <t>24h Fees USD</t>
        </is>
      </c>
      <c r="I1" s="7" t="inlineStr">
        <is>
          <t>Volume / TVL</t>
        </is>
      </c>
      <c r="J1" s="7" t="inlineStr">
        <is>
          <t>Fee Yield (24h)</t>
        </is>
      </c>
      <c r="K1" s="7" t="inlineStr">
        <is>
          <t>APR</t>
        </is>
      </c>
      <c r="L1" s="7" t="inlineStr">
        <is>
          <t>APY</t>
        </is>
      </c>
      <c r="M1" s="7" t="inlineStr">
        <is>
          <t>24h Txns</t>
        </is>
      </c>
      <c r="N1" s="7" t="inlineStr">
        <is>
          <t>Farm</t>
        </is>
      </c>
    </row>
    <row r="2">
      <c r="A2" t="inlineStr">
        <is>
          <t>SOL-USDC</t>
        </is>
      </c>
      <c r="B2" t="inlineStr">
        <is>
          <t>5rCf1DM8LjKTw4YqhnoLcngyZYeNnQqztScTogYHAS6</t>
        </is>
      </c>
      <c r="C2" t="inlineStr">
        <is>
          <t>SOL</t>
        </is>
      </c>
      <c r="D2" t="inlineStr">
        <is>
          <t>USDC</t>
        </is>
      </c>
      <c r="E2" s="8" t="n">
        <v>45381</v>
      </c>
      <c r="F2" s="9" t="n">
        <v>4977658.895277033</v>
      </c>
      <c r="G2" s="9" t="n">
        <v>36023590.16266005</v>
      </c>
      <c r="H2" s="9" t="n">
        <v>15122.02067884551</v>
      </c>
      <c r="I2" s="10" t="n">
        <v>7.23705479233228</v>
      </c>
      <c r="J2" s="10" t="n">
        <v>0.00303797849490928</v>
      </c>
      <c r="K2" s="10" t="n">
        <v>0.303797849490928</v>
      </c>
      <c r="L2" s="10" t="n">
        <v>202.5817202391002</v>
      </c>
      <c r="M2" s="11" t="n">
        <v>0</v>
      </c>
      <c r="N2" t="b">
        <v>0</v>
      </c>
    </row>
    <row r="3">
      <c r="A3" t="inlineStr">
        <is>
          <t>SOL-USDC</t>
        </is>
      </c>
      <c r="B3" t="inlineStr">
        <is>
          <t>HTvjzsfX3yU6BUodCjZ5vZkUrAxMDTrBs3CJaq43ashR</t>
        </is>
      </c>
      <c r="C3" t="inlineStr">
        <is>
          <t>SOL</t>
        </is>
      </c>
      <c r="D3" t="inlineStr">
        <is>
          <t>USDC</t>
        </is>
      </c>
      <c r="E3" s="8" t="n">
        <v>45338</v>
      </c>
      <c r="F3" s="9" t="n">
        <v>304555.3002580805</v>
      </c>
      <c r="G3" s="9" t="n">
        <v>14045629.11795889</v>
      </c>
      <c r="H3" s="9" t="n">
        <v>2303.356069933953</v>
      </c>
      <c r="I3" s="10" t="n">
        <v>46.11848523423039</v>
      </c>
      <c r="J3" s="10" t="n">
        <v>0.007563014230854254</v>
      </c>
      <c r="K3" s="10" t="n">
        <v>0.7563014230854254</v>
      </c>
      <c r="L3" s="10" t="n">
        <v>1464.441022666983</v>
      </c>
      <c r="M3" s="11" t="n">
        <v>0</v>
      </c>
      <c r="N3" t="b">
        <v>0</v>
      </c>
    </row>
    <row r="4">
      <c r="A4" t="inlineStr">
        <is>
          <t>ANTFUN-USDT</t>
        </is>
      </c>
      <c r="B4" t="inlineStr">
        <is>
          <t>54Vp27uLaw4wNLo5n7r4fcC6zLamoQc28xBARjss4EUJ</t>
        </is>
      </c>
      <c r="C4" t="inlineStr">
        <is>
          <t>ANTFUN</t>
        </is>
      </c>
      <c r="D4" t="inlineStr">
        <is>
          <t>USDT</t>
        </is>
      </c>
      <c r="E4" s="8" t="n">
        <v>46213</v>
      </c>
      <c r="F4" s="9" t="n">
        <v>64539633.13039298</v>
      </c>
      <c r="G4" s="9" t="n">
        <v>13374882.59830971</v>
      </c>
      <c r="H4" s="9" t="n">
        <v>3682.537086593268</v>
      </c>
      <c r="I4" s="10" t="n">
        <v>0.2072351816950632</v>
      </c>
      <c r="J4" s="10" t="n">
        <v>5.705853764543773e-05</v>
      </c>
      <c r="K4" s="10" t="n">
        <v>0.005705853764543772</v>
      </c>
      <c r="L4" s="10" t="n">
        <v>2.10441417651015</v>
      </c>
      <c r="M4" s="11" t="n">
        <v>0</v>
      </c>
      <c r="N4" t="b">
        <v>0</v>
      </c>
    </row>
    <row r="5">
      <c r="A5" t="inlineStr">
        <is>
          <t>STONK-SOL</t>
        </is>
      </c>
      <c r="B5" t="inlineStr">
        <is>
          <t>zxTpi4BtaWX3mgdAPoezkMD1hxx8CdeCfrqXMWvSCLX</t>
        </is>
      </c>
      <c r="C5" t="inlineStr">
        <is>
          <t>STONK</t>
        </is>
      </c>
      <c r="D5" t="inlineStr">
        <is>
          <t>SOL</t>
        </is>
      </c>
      <c r="E5" s="8" t="n">
        <v>46246</v>
      </c>
      <c r="F5" s="9" t="n">
        <v>2460786.116793737</v>
      </c>
      <c r="G5" s="9" t="n">
        <v>12791176.13061945</v>
      </c>
      <c r="H5" s="9" t="n">
        <v>25549.85494221086</v>
      </c>
      <c r="I5" s="10" t="n">
        <v>5.198004021286341</v>
      </c>
      <c r="J5" s="10" t="n">
        <v>0.01038280197041295</v>
      </c>
      <c r="K5" s="10" t="n">
        <v>1.038280197041295</v>
      </c>
      <c r="L5" s="10" t="n">
        <v>4238.804220222184</v>
      </c>
      <c r="M5" s="11" t="n">
        <v>0</v>
      </c>
      <c r="N5" t="b">
        <v>0</v>
      </c>
    </row>
    <row r="6">
      <c r="A6" t="inlineStr">
        <is>
          <t>SOL-USDC</t>
        </is>
      </c>
      <c r="B6" t="inlineStr">
        <is>
          <t>BGm1tav58oGcsQJehL9WXBFXF7D27vZsKefj4xJKD5Y</t>
        </is>
      </c>
      <c r="C6" t="inlineStr">
        <is>
          <t>SOL</t>
        </is>
      </c>
      <c r="D6" t="inlineStr">
        <is>
          <t>USDC</t>
        </is>
      </c>
      <c r="E6" s="8" t="n">
        <v>45423</v>
      </c>
      <c r="F6" s="9" t="n">
        <v>3358073.388790032</v>
      </c>
      <c r="G6" s="9" t="n">
        <v>9609362.497538082</v>
      </c>
      <c r="H6" s="9" t="n">
        <v>8915.840900827076</v>
      </c>
      <c r="I6" s="10" t="n">
        <v>2.861570128162235</v>
      </c>
      <c r="J6" s="10" t="n">
        <v>0.002655046471167087</v>
      </c>
      <c r="K6" s="10" t="n">
        <v>0.2655046471167087</v>
      </c>
      <c r="L6" s="10" t="n">
        <v>163.2167740130838</v>
      </c>
      <c r="M6" s="11" t="n">
        <v>0</v>
      </c>
      <c r="N6" t="b">
        <v>0</v>
      </c>
    </row>
    <row r="7">
      <c r="A7" t="inlineStr">
        <is>
          <t>cbBTC-USDC</t>
        </is>
      </c>
      <c r="B7" t="inlineStr">
        <is>
          <t>7ubS3GccjhQY99AYNKXjNJqnXjaokEdfdV915xnCb96r</t>
        </is>
      </c>
      <c r="C7" t="inlineStr">
        <is>
          <t>cbBTC</t>
        </is>
      </c>
      <c r="D7" t="inlineStr">
        <is>
          <t>USDC</t>
        </is>
      </c>
      <c r="E7" s="8" t="n">
        <v>45603</v>
      </c>
      <c r="F7" s="9" t="n">
        <v>2380151.36301503</v>
      </c>
      <c r="G7" s="9" t="n">
        <v>8006118.693932698</v>
      </c>
      <c r="H7" s="9" t="n">
        <v>3148.833161995845</v>
      </c>
      <c r="I7" s="10" t="n">
        <v>3.363701493249168</v>
      </c>
      <c r="J7" s="10" t="n">
        <v>0.001322955006528281</v>
      </c>
      <c r="K7" s="10" t="n">
        <v>0.1322955006528281</v>
      </c>
      <c r="L7" s="10" t="n">
        <v>62.02159543282062</v>
      </c>
      <c r="M7" s="11" t="n">
        <v>0</v>
      </c>
      <c r="N7" t="b">
        <v>0</v>
      </c>
    </row>
    <row r="8">
      <c r="A8" t="inlineStr">
        <is>
          <t>PAID-SOL</t>
        </is>
      </c>
      <c r="B8" t="inlineStr">
        <is>
          <t>Gc5hVCBydc6k3Z7oc2cQEW4GThFQi2Fqk5HfKABqa2q8</t>
        </is>
      </c>
      <c r="C8" t="inlineStr">
        <is>
          <t>PAID</t>
        </is>
      </c>
      <c r="D8" t="inlineStr">
        <is>
          <t>SOL</t>
        </is>
      </c>
      <c r="E8" s="8" t="n">
        <v>46280</v>
      </c>
      <c r="F8" s="9" t="n">
        <v>1061973.460480961</v>
      </c>
      <c r="G8" s="9" t="n">
        <v>7867353.740748877</v>
      </c>
      <c r="H8" s="9" t="n">
        <v>127219.0735041876</v>
      </c>
      <c r="I8" s="10" t="n">
        <v>7.408239502695109</v>
      </c>
      <c r="J8" s="10" t="n">
        <v>0.1197949649764044</v>
      </c>
      <c r="K8" s="10" t="n">
        <v>11.97949649764044</v>
      </c>
      <c r="L8" s="10" t="n">
        <v>1.844674407370955e+19</v>
      </c>
      <c r="M8" s="11" t="n">
        <v>0</v>
      </c>
      <c r="N8" t="b">
        <v>0</v>
      </c>
    </row>
    <row r="9">
      <c r="A9" t="inlineStr">
        <is>
          <t>ZEC-SOL</t>
        </is>
      </c>
      <c r="B9" t="inlineStr">
        <is>
          <t>8eybKAvjKJryVweQLg8SRgwUfdP7wHYJ5yyqgfE82DQA</t>
        </is>
      </c>
      <c r="C9" t="inlineStr">
        <is>
          <t>ZEC</t>
        </is>
      </c>
      <c r="D9" t="inlineStr">
        <is>
          <t>SOL</t>
        </is>
      </c>
      <c r="E9" s="8" t="n">
        <v>45947</v>
      </c>
      <c r="F9" s="9" t="n">
        <v>820450.442735847</v>
      </c>
      <c r="G9" s="9" t="n">
        <v>7830872.684173041</v>
      </c>
      <c r="H9" s="9" t="n">
        <v>14624.59341356317</v>
      </c>
      <c r="I9" s="10" t="n">
        <v>9.544601692285609</v>
      </c>
      <c r="J9" s="10" t="n">
        <v>0.01782507833720765</v>
      </c>
      <c r="K9" s="10" t="n">
        <v>1.782507833720765</v>
      </c>
      <c r="L9" s="10" t="n">
        <v>63097.3356503719</v>
      </c>
      <c r="M9" s="11" t="n">
        <v>0</v>
      </c>
      <c r="N9" t="b">
        <v>0</v>
      </c>
    </row>
    <row r="10">
      <c r="A10" t="inlineStr">
        <is>
          <t>SOL-HYPE</t>
        </is>
      </c>
      <c r="B10" t="inlineStr">
        <is>
          <t>6oQ9wVex4mKZti2GsGCfD8FWTMMC9PLQkztRU5cd6MK8</t>
        </is>
      </c>
      <c r="C10" t="inlineStr">
        <is>
          <t>SOL</t>
        </is>
      </c>
      <c r="D10" t="inlineStr">
        <is>
          <t>HYPE</t>
        </is>
      </c>
      <c r="E10" s="8" t="n">
        <v>45956</v>
      </c>
      <c r="F10" s="9" t="n">
        <v>517815.4975037617</v>
      </c>
      <c r="G10" s="9" t="n">
        <v>6765908.813363583</v>
      </c>
      <c r="H10" s="9" t="n">
        <v>2611.367564860209</v>
      </c>
      <c r="I10" s="10" t="n">
        <v>13.06625399583455</v>
      </c>
      <c r="J10" s="10" t="n">
        <v>0.005043046369698966</v>
      </c>
      <c r="K10" s="10" t="n">
        <v>0.5043046369698966</v>
      </c>
      <c r="L10" s="10" t="n">
        <v>527.1942234116435</v>
      </c>
      <c r="M10" s="11" t="n">
        <v>0</v>
      </c>
      <c r="N10" t="b">
        <v>0</v>
      </c>
    </row>
    <row r="11">
      <c r="A11" t="inlineStr">
        <is>
          <t>TRUMP-USDC</t>
        </is>
      </c>
      <c r="B11" t="inlineStr">
        <is>
          <t>3C5YE97HADPDxZehYq9Cis8AXr9aNyrUsczKzE1nDbW9</t>
        </is>
      </c>
      <c r="C11" t="inlineStr">
        <is>
          <t>TRUMP</t>
        </is>
      </c>
      <c r="D11" t="inlineStr">
        <is>
          <t>USDC</t>
        </is>
      </c>
      <c r="E11" s="8" t="n">
        <v>45675</v>
      </c>
      <c r="F11" s="9" t="n">
        <v>11728655.68798128</v>
      </c>
      <c r="G11" s="9" t="n">
        <v>6602700.143956124</v>
      </c>
      <c r="H11" s="9" t="n">
        <v>6287.250897851408</v>
      </c>
      <c r="I11" s="10" t="n">
        <v>0.5629545550324337</v>
      </c>
      <c r="J11" s="10" t="n">
        <v>0.0005360589538231693</v>
      </c>
      <c r="K11" s="10" t="n">
        <v>0.05360589538231693</v>
      </c>
      <c r="L11" s="10" t="n">
        <v>21.60514503905315</v>
      </c>
      <c r="M11" s="11" t="n">
        <v>0</v>
      </c>
      <c r="N11" t="b">
        <v>0</v>
      </c>
    </row>
  </sheetData>
  <autoFilter ref="A1:N11"/>
  <conditionalFormatting sqref="I2:I1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4" customWidth="1" min="4" max="4"/>
  </cols>
  <sheetData>
    <row r="1">
      <c r="A1" s="7" t="inlineStr">
        <is>
          <t>Date (UTC)</t>
        </is>
      </c>
      <c r="B1" s="7" t="inlineStr">
        <is>
          <t>Daily Volume USD</t>
        </is>
      </c>
      <c r="C1" s="7" t="inlineStr">
        <is>
          <t>7D Moving Average</t>
        </is>
      </c>
      <c r="D1" s="7" t="inlineStr">
        <is>
          <t>Day-over-day change</t>
        </is>
      </c>
    </row>
    <row r="2">
      <c r="A2" s="8" t="n">
        <v>46223</v>
      </c>
      <c r="B2" s="9" t="n">
        <v>147907137.3191946</v>
      </c>
      <c r="C2" s="9">
        <f>AVERAGE(B2:B2)</f>
        <v/>
      </c>
      <c r="D2" s="10" t="inlineStr"/>
    </row>
    <row r="3">
      <c r="A3" s="8" t="n">
        <v>46224</v>
      </c>
      <c r="B3" s="9" t="n">
        <v>114505851.7500712</v>
      </c>
      <c r="C3" s="9">
        <f>AVERAGE(B2:B3)</f>
        <v/>
      </c>
      <c r="D3" s="10">
        <f>IFERROR(B3/B2-1,"")</f>
        <v/>
      </c>
    </row>
    <row r="4">
      <c r="A4" s="8" t="n">
        <v>46225</v>
      </c>
      <c r="B4" s="9" t="n">
        <v>149325387.5240194</v>
      </c>
      <c r="C4" s="9">
        <f>AVERAGE(B2:B4)</f>
        <v/>
      </c>
      <c r="D4" s="10">
        <f>IFERROR(B4/B3-1,"")</f>
        <v/>
      </c>
    </row>
    <row r="5">
      <c r="A5" s="8" t="n">
        <v>46226</v>
      </c>
      <c r="B5" s="9" t="n">
        <v>153036115.7456979</v>
      </c>
      <c r="C5" s="9">
        <f>AVERAGE(B2:B5)</f>
        <v/>
      </c>
      <c r="D5" s="10">
        <f>IFERROR(B5/B4-1,"")</f>
        <v/>
      </c>
    </row>
    <row r="6">
      <c r="A6" s="8" t="n">
        <v>46227</v>
      </c>
      <c r="B6" s="9" t="n">
        <v>103349509.2189651</v>
      </c>
      <c r="C6" s="9">
        <f>AVERAGE(B2:B6)</f>
        <v/>
      </c>
      <c r="D6" s="10">
        <f>IFERROR(B6/B5-1,"")</f>
        <v/>
      </c>
    </row>
    <row r="7">
      <c r="A7" s="8" t="n">
        <v>46228</v>
      </c>
      <c r="B7" s="9" t="n">
        <v>60773258.84538974</v>
      </c>
      <c r="C7" s="9">
        <f>AVERAGE(B2:B7)</f>
        <v/>
      </c>
      <c r="D7" s="10">
        <f>IFERROR(B7/B6-1,"")</f>
        <v/>
      </c>
    </row>
    <row r="8">
      <c r="A8" s="8" t="n">
        <v>46229</v>
      </c>
      <c r="B8" s="9" t="n">
        <v>80952198.25960222</v>
      </c>
      <c r="C8" s="9">
        <f>AVERAGE(B2:B8)</f>
        <v/>
      </c>
      <c r="D8" s="10">
        <f>IFERROR(B8/B7-1,"")</f>
        <v/>
      </c>
    </row>
    <row r="9">
      <c r="A9" s="8" t="n">
        <v>46230</v>
      </c>
      <c r="B9" s="9" t="n">
        <v>131678658.7770863</v>
      </c>
      <c r="C9" s="9">
        <f>AVERAGE(B3:B9)</f>
        <v/>
      </c>
      <c r="D9" s="10">
        <f>IFERROR(B9/B8-1,"")</f>
        <v/>
      </c>
    </row>
    <row r="10">
      <c r="A10" s="8" t="n">
        <v>46231</v>
      </c>
      <c r="B10" s="9" t="n">
        <v>122213261.5355883</v>
      </c>
      <c r="C10" s="9">
        <f>AVERAGE(B4:B10)</f>
        <v/>
      </c>
      <c r="D10" s="10">
        <f>IFERROR(B10/B9-1,"")</f>
        <v/>
      </c>
    </row>
    <row r="11">
      <c r="A11" s="8" t="n">
        <v>46232</v>
      </c>
      <c r="B11" s="9" t="n">
        <v>221526985.3374488</v>
      </c>
      <c r="C11" s="9">
        <f>AVERAGE(B5:B11)</f>
        <v/>
      </c>
      <c r="D11" s="10">
        <f>IFERROR(B11/B10-1,"")</f>
        <v/>
      </c>
    </row>
    <row r="12">
      <c r="A12" s="8" t="n">
        <v>46233</v>
      </c>
      <c r="B12" s="9" t="n">
        <v>129783313.7840316</v>
      </c>
      <c r="C12" s="9">
        <f>AVERAGE(B6:B12)</f>
        <v/>
      </c>
      <c r="D12" s="10">
        <f>IFERROR(B12/B11-1,"")</f>
        <v/>
      </c>
    </row>
    <row r="13">
      <c r="A13" s="8" t="n">
        <v>46234</v>
      </c>
      <c r="B13" s="9" t="n">
        <v>102818715.0861301</v>
      </c>
      <c r="C13" s="9">
        <f>AVERAGE(B7:B13)</f>
        <v/>
      </c>
      <c r="D13" s="10">
        <f>IFERROR(B13/B12-1,"")</f>
        <v/>
      </c>
    </row>
    <row r="14">
      <c r="A14" s="8" t="n">
        <v>46235</v>
      </c>
      <c r="B14" s="9" t="n">
        <v>56852460.09985889</v>
      </c>
      <c r="C14" s="9">
        <f>AVERAGE(B8:B14)</f>
        <v/>
      </c>
      <c r="D14" s="10">
        <f>IFERROR(B14/B13-1,"")</f>
        <v/>
      </c>
    </row>
    <row r="15">
      <c r="A15" s="8" t="n">
        <v>46236</v>
      </c>
      <c r="B15" s="9" t="n">
        <v>67785905.87392376</v>
      </c>
      <c r="C15" s="9">
        <f>AVERAGE(B9:B15)</f>
        <v/>
      </c>
      <c r="D15" s="10">
        <f>IFERROR(B15/B14-1,"")</f>
        <v/>
      </c>
    </row>
    <row r="16">
      <c r="A16" s="8" t="n">
        <v>46237</v>
      </c>
      <c r="B16" s="9" t="n">
        <v>136757046.8431037</v>
      </c>
      <c r="C16" s="9">
        <f>AVERAGE(B10:B16)</f>
        <v/>
      </c>
      <c r="D16" s="10">
        <f>IFERROR(B16/B15-1,"")</f>
        <v/>
      </c>
    </row>
    <row r="17">
      <c r="A17" s="8" t="n">
        <v>46238</v>
      </c>
      <c r="B17" s="9" t="n">
        <v>150134573.7578514</v>
      </c>
      <c r="C17" s="9">
        <f>AVERAGE(B11:B17)</f>
        <v/>
      </c>
      <c r="D17" s="10">
        <f>IFERROR(B17/B16-1,"")</f>
        <v/>
      </c>
    </row>
    <row r="18">
      <c r="A18" s="8" t="n">
        <v>46239</v>
      </c>
      <c r="B18" s="9" t="n">
        <v>118561408.4744416</v>
      </c>
      <c r="C18" s="9">
        <f>AVERAGE(B12:B18)</f>
        <v/>
      </c>
      <c r="D18" s="10">
        <f>IFERROR(B18/B17-1,"")</f>
        <v/>
      </c>
    </row>
    <row r="19">
      <c r="A19" s="8" t="n">
        <v>46240</v>
      </c>
      <c r="B19" s="9" t="n">
        <v>121575231.3118877</v>
      </c>
      <c r="C19" s="9">
        <f>AVERAGE(B13:B19)</f>
        <v/>
      </c>
      <c r="D19" s="10">
        <f>IFERROR(B19/B18-1,"")</f>
        <v/>
      </c>
    </row>
    <row r="20">
      <c r="A20" s="8" t="n">
        <v>46241</v>
      </c>
      <c r="B20" s="9" t="n">
        <v>108563044.8333209</v>
      </c>
      <c r="C20" s="9">
        <f>AVERAGE(B14:B20)</f>
        <v/>
      </c>
      <c r="D20" s="10">
        <f>IFERROR(B20/B19-1,"")</f>
        <v/>
      </c>
    </row>
    <row r="21">
      <c r="A21" s="8" t="n">
        <v>46242</v>
      </c>
      <c r="B21" s="9" t="n">
        <v>102572501.9492769</v>
      </c>
      <c r="C21" s="9">
        <f>AVERAGE(B15:B21)</f>
        <v/>
      </c>
      <c r="D21" s="10">
        <f>IFERROR(B21/B20-1,"")</f>
        <v/>
      </c>
    </row>
    <row r="22">
      <c r="A22" s="8" t="n">
        <v>46243</v>
      </c>
      <c r="B22" s="9" t="n">
        <v>91904289.87090254</v>
      </c>
      <c r="C22" s="9">
        <f>AVERAGE(B16:B22)</f>
        <v/>
      </c>
      <c r="D22" s="10">
        <f>IFERROR(B22/B21-1,"")</f>
        <v/>
      </c>
    </row>
    <row r="23">
      <c r="A23" s="8" t="n">
        <v>46244</v>
      </c>
      <c r="B23" s="9" t="n">
        <v>130935521.2489068</v>
      </c>
      <c r="C23" s="9">
        <f>AVERAGE(B17:B23)</f>
        <v/>
      </c>
      <c r="D23" s="10">
        <f>IFERROR(B23/B22-1,"")</f>
        <v/>
      </c>
    </row>
    <row r="24">
      <c r="A24" s="8" t="n">
        <v>46245</v>
      </c>
      <c r="B24" s="9" t="n">
        <v>130800779.0554688</v>
      </c>
      <c r="C24" s="9">
        <f>AVERAGE(B18:B24)</f>
        <v/>
      </c>
      <c r="D24" s="10">
        <f>IFERROR(B24/B23-1,"")</f>
        <v/>
      </c>
    </row>
    <row r="25">
      <c r="A25" s="8" t="n">
        <v>46246</v>
      </c>
      <c r="B25" s="9" t="n">
        <v>129712225.2723484</v>
      </c>
      <c r="C25" s="9">
        <f>AVERAGE(B19:B25)</f>
        <v/>
      </c>
      <c r="D25" s="10">
        <f>IFERROR(B25/B24-1,"")</f>
        <v/>
      </c>
    </row>
    <row r="26">
      <c r="A26" s="8" t="n">
        <v>46247</v>
      </c>
      <c r="B26" s="9" t="n">
        <v>120341692.6890355</v>
      </c>
      <c r="C26" s="9">
        <f>AVERAGE(B20:B26)</f>
        <v/>
      </c>
      <c r="D26" s="10">
        <f>IFERROR(B26/B25-1,"")</f>
        <v/>
      </c>
    </row>
    <row r="27">
      <c r="A27" s="8" t="n">
        <v>46248</v>
      </c>
      <c r="B27" s="9" t="n">
        <v>121419000.7441252</v>
      </c>
      <c r="C27" s="9">
        <f>AVERAGE(B21:B27)</f>
        <v/>
      </c>
      <c r="D27" s="10">
        <f>IFERROR(B27/B26-1,"")</f>
        <v/>
      </c>
    </row>
    <row r="28">
      <c r="A28" s="8" t="n">
        <v>46249</v>
      </c>
      <c r="B28" s="9" t="n">
        <v>64122044.86673804</v>
      </c>
      <c r="C28" s="9">
        <f>AVERAGE(B22:B28)</f>
        <v/>
      </c>
      <c r="D28" s="10">
        <f>IFERROR(B28/B27-1,"")</f>
        <v/>
      </c>
    </row>
    <row r="29">
      <c r="A29" s="8" t="n">
        <v>46250</v>
      </c>
      <c r="B29" s="9" t="n">
        <v>63368231.09474656</v>
      </c>
      <c r="C29" s="9">
        <f>AVERAGE(B23:B29)</f>
        <v/>
      </c>
      <c r="D29" s="10">
        <f>IFERROR(B29/B28-1,"")</f>
        <v/>
      </c>
    </row>
    <row r="30">
      <c r="A30" s="8" t="n">
        <v>46251</v>
      </c>
      <c r="B30" s="9" t="n">
        <v>169093298.5832636</v>
      </c>
      <c r="C30" s="9">
        <f>AVERAGE(B24:B30)</f>
        <v/>
      </c>
      <c r="D30" s="10">
        <f>IFERROR(B30/B29-1,"")</f>
        <v/>
      </c>
    </row>
    <row r="31">
      <c r="A31" s="8" t="n">
        <v>46252</v>
      </c>
      <c r="B31" s="9" t="n">
        <v>116789096.9161017</v>
      </c>
      <c r="C31" s="9">
        <f>AVERAGE(B25:B31)</f>
        <v/>
      </c>
      <c r="D31" s="10">
        <f>IFERROR(B31/B30-1,"")</f>
        <v/>
      </c>
    </row>
    <row r="32">
      <c r="A32" s="8" t="n">
        <v>46253</v>
      </c>
      <c r="B32" s="9" t="n">
        <v>400245575.7874936</v>
      </c>
      <c r="C32" s="9">
        <f>AVERAGE(B26:B32)</f>
        <v/>
      </c>
      <c r="D32" s="10">
        <f>IFERROR(B32/B31-1,"")</f>
        <v/>
      </c>
    </row>
    <row r="33">
      <c r="A33" s="8" t="n">
        <v>46254</v>
      </c>
      <c r="B33" s="9" t="n">
        <v>225576185.4143447</v>
      </c>
      <c r="C33" s="9">
        <f>AVERAGE(B27:B33)</f>
        <v/>
      </c>
      <c r="D33" s="10">
        <f>IFERROR(B33/B32-1,"")</f>
        <v/>
      </c>
    </row>
    <row r="34">
      <c r="A34" s="8" t="n">
        <v>46255</v>
      </c>
      <c r="B34" s="9" t="n">
        <v>310667620.3622829</v>
      </c>
      <c r="C34" s="9">
        <f>AVERAGE(B28:B34)</f>
        <v/>
      </c>
      <c r="D34" s="10">
        <f>IFERROR(B34/B33-1,"")</f>
        <v/>
      </c>
    </row>
    <row r="35">
      <c r="A35" s="8" t="n">
        <v>46256</v>
      </c>
      <c r="B35" s="9" t="n">
        <v>517700572.8204758</v>
      </c>
      <c r="C35" s="9">
        <f>AVERAGE(B29:B35)</f>
        <v/>
      </c>
      <c r="D35" s="10">
        <f>IFERROR(B35/B34-1,"")</f>
        <v/>
      </c>
    </row>
    <row r="36">
      <c r="A36" s="8" t="n">
        <v>46257</v>
      </c>
      <c r="B36" s="9" t="n">
        <v>369851717.1731399</v>
      </c>
      <c r="C36" s="9">
        <f>AVERAGE(B30:B36)</f>
        <v/>
      </c>
      <c r="D36" s="10">
        <f>IFERROR(B36/B35-1,"")</f>
        <v/>
      </c>
    </row>
    <row r="37">
      <c r="A37" s="8" t="n">
        <v>46258</v>
      </c>
      <c r="B37" s="9" t="n">
        <v>362201067.8478382</v>
      </c>
      <c r="C37" s="9">
        <f>AVERAGE(B31:B37)</f>
        <v/>
      </c>
      <c r="D37" s="10">
        <f>IFERROR(B37/B36-1,"")</f>
        <v/>
      </c>
    </row>
    <row r="38">
      <c r="A38" s="8" t="n">
        <v>46259</v>
      </c>
      <c r="B38" s="9" t="n">
        <v>343145100.1949666</v>
      </c>
      <c r="C38" s="9">
        <f>AVERAGE(B32:B38)</f>
        <v/>
      </c>
      <c r="D38" s="10">
        <f>IFERROR(B38/B37-1,"")</f>
        <v/>
      </c>
    </row>
    <row r="39">
      <c r="A39" s="8" t="n">
        <v>46260</v>
      </c>
      <c r="B39" s="9" t="n">
        <v>249542842.5133797</v>
      </c>
      <c r="C39" s="9">
        <f>AVERAGE(B33:B39)</f>
        <v/>
      </c>
      <c r="D39" s="10">
        <f>IFERROR(B39/B38-1,"")</f>
        <v/>
      </c>
    </row>
    <row r="40">
      <c r="A40" s="8" t="n">
        <v>46261</v>
      </c>
      <c r="B40" s="9" t="n">
        <v>318674551.074323</v>
      </c>
      <c r="C40" s="9">
        <f>AVERAGE(B34:B40)</f>
        <v/>
      </c>
      <c r="D40" s="10">
        <f>IFERROR(B40/B39-1,"")</f>
        <v/>
      </c>
    </row>
    <row r="41">
      <c r="A41" s="8" t="n">
        <v>46262</v>
      </c>
      <c r="B41" s="9" t="n">
        <v>354269790.0466051</v>
      </c>
      <c r="C41" s="9">
        <f>AVERAGE(B35:B41)</f>
        <v/>
      </c>
      <c r="D41" s="10">
        <f>IFERROR(B41/B40-1,"")</f>
        <v/>
      </c>
    </row>
    <row r="42">
      <c r="A42" s="8" t="n">
        <v>46263</v>
      </c>
      <c r="B42" s="9" t="n">
        <v>179839378.7097254</v>
      </c>
      <c r="C42" s="9">
        <f>AVERAGE(B36:B42)</f>
        <v/>
      </c>
      <c r="D42" s="10">
        <f>IFERROR(B42/B41-1,"")</f>
        <v/>
      </c>
    </row>
    <row r="43">
      <c r="A43" s="8" t="n">
        <v>46264</v>
      </c>
      <c r="B43" s="9" t="n">
        <v>177024795.5578198</v>
      </c>
      <c r="C43" s="9">
        <f>AVERAGE(B37:B43)</f>
        <v/>
      </c>
      <c r="D43" s="10">
        <f>IFERROR(B43/B42-1,"")</f>
        <v/>
      </c>
    </row>
    <row r="44">
      <c r="A44" s="8" t="n">
        <v>46265</v>
      </c>
      <c r="B44" s="9" t="n">
        <v>202432586.4700662</v>
      </c>
      <c r="C44" s="9">
        <f>AVERAGE(B38:B44)</f>
        <v/>
      </c>
      <c r="D44" s="10">
        <f>IFERROR(B44/B43-1,"")</f>
        <v/>
      </c>
    </row>
    <row r="45">
      <c r="A45" s="8" t="n">
        <v>46266</v>
      </c>
      <c r="B45" s="9" t="n">
        <v>221907395.6353001</v>
      </c>
      <c r="C45" s="9">
        <f>AVERAGE(B39:B45)</f>
        <v/>
      </c>
      <c r="D45" s="10">
        <f>IFERROR(B45/B44-1,"")</f>
        <v/>
      </c>
    </row>
    <row r="46">
      <c r="A46" s="8" t="n">
        <v>46267</v>
      </c>
      <c r="B46" s="9" t="n">
        <v>175518959.4242859</v>
      </c>
      <c r="C46" s="9">
        <f>AVERAGE(B40:B46)</f>
        <v/>
      </c>
      <c r="D46" s="10">
        <f>IFERROR(B46/B45-1,"")</f>
        <v/>
      </c>
    </row>
    <row r="47">
      <c r="A47" s="8" t="n">
        <v>46268</v>
      </c>
      <c r="B47" s="9" t="n">
        <v>236301454.2948809</v>
      </c>
      <c r="C47" s="9">
        <f>AVERAGE(B41:B47)</f>
        <v/>
      </c>
      <c r="D47" s="10">
        <f>IFERROR(B47/B46-1,"")</f>
        <v/>
      </c>
    </row>
    <row r="48">
      <c r="A48" s="8" t="n">
        <v>46269</v>
      </c>
      <c r="B48" s="9" t="n">
        <v>223603438.188056</v>
      </c>
      <c r="C48" s="9">
        <f>AVERAGE(B42:B48)</f>
        <v/>
      </c>
      <c r="D48" s="10">
        <f>IFERROR(B48/B47-1,"")</f>
        <v/>
      </c>
    </row>
    <row r="49">
      <c r="A49" s="8" t="n">
        <v>46270</v>
      </c>
      <c r="B49" s="9" t="n">
        <v>136678934.6154366</v>
      </c>
      <c r="C49" s="9">
        <f>AVERAGE(B43:B49)</f>
        <v/>
      </c>
      <c r="D49" s="10">
        <f>IFERROR(B49/B48-1,"")</f>
        <v/>
      </c>
    </row>
    <row r="50">
      <c r="A50" s="8" t="n">
        <v>46271</v>
      </c>
      <c r="B50" s="9" t="n">
        <v>350557068.0297595</v>
      </c>
      <c r="C50" s="9">
        <f>AVERAGE(B44:B50)</f>
        <v/>
      </c>
      <c r="D50" s="10">
        <f>IFERROR(B50/B49-1,"")</f>
        <v/>
      </c>
    </row>
    <row r="51">
      <c r="A51" s="8" t="n">
        <v>46272</v>
      </c>
      <c r="B51" s="9" t="n">
        <v>286992291.1016608</v>
      </c>
      <c r="C51" s="9">
        <f>AVERAGE(B45:B51)</f>
        <v/>
      </c>
      <c r="D51" s="10">
        <f>IFERROR(B51/B50-1,"")</f>
        <v/>
      </c>
    </row>
    <row r="52">
      <c r="A52" s="8" t="n">
        <v>46273</v>
      </c>
      <c r="B52" s="9" t="n">
        <v>307624516.7518355</v>
      </c>
      <c r="C52" s="9">
        <f>AVERAGE(B46:B52)</f>
        <v/>
      </c>
      <c r="D52" s="10">
        <f>IFERROR(B52/B51-1,"")</f>
        <v/>
      </c>
    </row>
    <row r="53">
      <c r="A53" s="8" t="n">
        <v>46274</v>
      </c>
      <c r="B53" s="9" t="n">
        <v>409142507.5574193</v>
      </c>
      <c r="C53" s="9">
        <f>AVERAGE(B47:B53)</f>
        <v/>
      </c>
      <c r="D53" s="10">
        <f>IFERROR(B53/B52-1,"")</f>
        <v/>
      </c>
    </row>
    <row r="54">
      <c r="A54" s="8" t="n">
        <v>46275</v>
      </c>
      <c r="B54" s="9" t="n">
        <v>281587908.77986</v>
      </c>
      <c r="C54" s="9">
        <f>AVERAGE(B48:B54)</f>
        <v/>
      </c>
      <c r="D54" s="10">
        <f>IFERROR(B54/B53-1,"")</f>
        <v/>
      </c>
    </row>
    <row r="55">
      <c r="A55" s="8" t="n">
        <v>46276</v>
      </c>
      <c r="B55" s="9" t="n">
        <v>500833007.3755547</v>
      </c>
      <c r="C55" s="9">
        <f>AVERAGE(B49:B55)</f>
        <v/>
      </c>
      <c r="D55" s="10">
        <f>IFERROR(B55/B54-1,"")</f>
        <v/>
      </c>
    </row>
    <row r="56">
      <c r="A56" s="8" t="n">
        <v>46277</v>
      </c>
      <c r="B56" s="9" t="n">
        <v>223881750.0604446</v>
      </c>
      <c r="C56" s="9">
        <f>AVERAGE(B50:B56)</f>
        <v/>
      </c>
      <c r="D56" s="10">
        <f>IFERROR(B56/B55-1,"")</f>
        <v/>
      </c>
    </row>
    <row r="57">
      <c r="A57" s="8" t="n">
        <v>46278</v>
      </c>
      <c r="B57" s="9" t="n">
        <v>224489386.6255303</v>
      </c>
      <c r="C57" s="9">
        <f>AVERAGE(B51:B57)</f>
        <v/>
      </c>
      <c r="D57" s="10">
        <f>IFERROR(B57/B56-1,"")</f>
        <v/>
      </c>
    </row>
    <row r="58">
      <c r="A58" s="8" t="n">
        <v>46279</v>
      </c>
      <c r="B58" s="9" t="n">
        <v>264299060.7932155</v>
      </c>
      <c r="C58" s="9">
        <f>AVERAGE(B52:B58)</f>
        <v/>
      </c>
      <c r="D58" s="10">
        <f>IFERROR(B58/B57-1,"")</f>
        <v/>
      </c>
    </row>
    <row r="59">
      <c r="A59" s="8" t="n">
        <v>46280</v>
      </c>
      <c r="B59" s="9" t="n">
        <v>239881019.0360363</v>
      </c>
      <c r="C59" s="9">
        <f>AVERAGE(B53:B59)</f>
        <v/>
      </c>
      <c r="D59" s="10">
        <f>IFERROR(B59/B58-1,"")</f>
        <v/>
      </c>
    </row>
    <row r="60">
      <c r="A60" s="8" t="n">
        <v>46281</v>
      </c>
      <c r="B60" s="9" t="n">
        <v>255304510.182111</v>
      </c>
      <c r="C60" s="9">
        <f>AVERAGE(B54:B60)</f>
        <v/>
      </c>
      <c r="D60" s="10">
        <f>IFERROR(B60/B59-1,"")</f>
        <v/>
      </c>
    </row>
    <row r="61">
      <c r="A61" s="8" t="n">
        <v>46282</v>
      </c>
      <c r="B61" s="9" t="n">
        <v>79935594.43746971</v>
      </c>
      <c r="C61" s="9">
        <f>AVERAGE(B55:B61)</f>
        <v/>
      </c>
      <c r="D61" s="10">
        <f>IFERROR(B61/B60-1,"")</f>
        <v/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</cols>
  <sheetData>
    <row r="1">
      <c r="A1" s="7" t="inlineStr">
        <is>
          <t>Metric</t>
        </is>
      </c>
      <c r="B1" s="7" t="inlineStr">
        <is>
          <t>Business interpretation</t>
        </is>
      </c>
      <c r="C1" s="7" t="inlineStr">
        <is>
          <t>Caveat</t>
        </is>
      </c>
    </row>
    <row r="2">
      <c r="A2" t="inlineStr">
        <is>
          <t>TVL</t>
        </is>
      </c>
      <c r="B2" t="inlineStr">
        <is>
          <t>Current liquidity capacity in a pool.</t>
        </is>
      </c>
      <c r="C2" t="inlineStr">
        <is>
          <t>Point-in-time and price-sensitive.</t>
        </is>
      </c>
    </row>
    <row r="3">
      <c r="A3" t="inlineStr">
        <is>
          <t>24h Volume</t>
        </is>
      </c>
      <c r="B3" t="inlineStr">
        <is>
          <t>Recent demand / trading activity flowing through a pool.</t>
        </is>
      </c>
      <c r="C3" t="inlineStr">
        <is>
          <t>May spike around launches or market events.</t>
        </is>
      </c>
    </row>
    <row r="4">
      <c r="A4" t="inlineStr">
        <is>
          <t>Volume / TVL</t>
        </is>
      </c>
      <c r="B4" t="inlineStr">
        <is>
          <t>Liquidity utilisation proxy for allocating monitoring attention.</t>
        </is>
      </c>
      <c r="C4" t="inlineStr">
        <is>
          <t>Not a profitability or risk measure by itself.</t>
        </is>
      </c>
    </row>
    <row r="5">
      <c r="A5" t="inlineStr">
        <is>
          <t>Fee Yield (24h)</t>
        </is>
      </c>
      <c r="B5" t="inlineStr">
        <is>
          <t>Daily gross fees relative to TVL; useful for comparing monetisation intensity.</t>
        </is>
      </c>
      <c r="C5" t="inlineStr">
        <is>
          <t>No annualisation; fees can be highly volatile.</t>
        </is>
      </c>
    </row>
    <row r="6">
      <c r="A6" t="inlineStr">
        <is>
          <t>APR / APY</t>
        </is>
      </c>
      <c r="B6" t="inlineStr">
        <is>
          <t>API-displayed pool return indicators.</t>
        </is>
      </c>
      <c r="C6" t="inlineStr">
        <is>
          <t>Do not treat as guaranteed returns; display values may include assumptions.</t>
        </is>
      </c>
    </row>
    <row r="7">
      <c r="A7" t="inlineStr">
        <is>
          <t>Source and refresh</t>
        </is>
      </c>
      <c r="B7" t="inlineStr">
        <is>
          <t>Meteora DLMM Data API: /pools and /stats/daily/volume.</t>
        </is>
      </c>
      <c r="C7" t="inlineStr">
        <is>
          <t>Re-run build_project.py to capture a new dated snapshot.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2026-09-17T08:53:21Z</dcterms:created>
  <dcterms:modified xmlns:dcterms="http://purl.org/dc/terms/" xmlns:xsi="http://www.w3.org/2001/XMLSchema-instance" xsi:type="dcterms:W3CDTF">2026-09-17T08:53:21Z</dcterms:modified>
</cp:coreProperties>
</file>